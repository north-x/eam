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avr\wa2-git\wa2\platform-xmega\"/>
    </mc:Choice>
  </mc:AlternateContent>
  <bookViews>
    <workbookView xWindow="120" yWindow="60" windowWidth="18915" windowHeight="8505"/>
  </bookViews>
  <sheets>
    <sheet name="Tabelle1" sheetId="1" r:id="rId1"/>
    <sheet name="Tabelle2" sheetId="2" r:id="rId2"/>
    <sheet name="Tabelle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A31" i="1" l="1"/>
  <c r="A32" i="1" l="1"/>
  <c r="A33" i="1" s="1"/>
  <c r="A34" i="1" s="1"/>
  <c r="A35" i="1" s="1"/>
  <c r="A36" i="1" s="1"/>
  <c r="A37" i="1" s="1"/>
  <c r="A38" i="1" s="1"/>
  <c r="A39" i="1" s="1"/>
  <c r="G36" i="1"/>
  <c r="G38" i="1"/>
  <c r="G41" i="1"/>
  <c r="H36" i="1"/>
  <c r="H38" i="1"/>
  <c r="H41" i="1"/>
  <c r="G39" i="1"/>
  <c r="G35" i="1"/>
  <c r="G37" i="1"/>
  <c r="G40" i="1"/>
  <c r="H35" i="1"/>
  <c r="H37" i="1"/>
  <c r="H40" i="1"/>
  <c r="H39" i="1"/>
  <c r="H33" i="1"/>
  <c r="G34" i="1"/>
  <c r="G33" i="1"/>
  <c r="H34" i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H3" i="1"/>
  <c r="H7" i="1"/>
  <c r="H11" i="1"/>
  <c r="H15" i="1"/>
  <c r="H19" i="1"/>
  <c r="H23" i="1"/>
  <c r="H27" i="1"/>
  <c r="H4" i="1"/>
  <c r="H8" i="1"/>
  <c r="H12" i="1"/>
  <c r="H16" i="1"/>
  <c r="H20" i="1"/>
  <c r="H24" i="1"/>
  <c r="H28" i="1"/>
  <c r="H2" i="1"/>
  <c r="H32" i="1"/>
  <c r="H31" i="1"/>
  <c r="H5" i="1"/>
  <c r="H9" i="1"/>
  <c r="H13" i="1"/>
  <c r="H17" i="1"/>
  <c r="H21" i="1"/>
  <c r="H25" i="1"/>
  <c r="H29" i="1"/>
  <c r="H6" i="1"/>
  <c r="H10" i="1"/>
  <c r="H14" i="1"/>
  <c r="H18" i="1"/>
  <c r="H22" i="1"/>
  <c r="H26" i="1"/>
  <c r="H30" i="1"/>
  <c r="G2" i="1"/>
  <c r="G32" i="1"/>
  <c r="G31" i="1"/>
  <c r="G4" i="1"/>
  <c r="G7" i="1"/>
  <c r="G11" i="1"/>
  <c r="G12" i="1"/>
  <c r="G16" i="1"/>
  <c r="G18" i="1"/>
  <c r="G20" i="1"/>
  <c r="G22" i="1"/>
  <c r="G24" i="1"/>
  <c r="G26" i="1"/>
  <c r="G28" i="1"/>
  <c r="G30" i="1"/>
  <c r="G9" i="1"/>
  <c r="G6" i="1"/>
  <c r="G3" i="1"/>
  <c r="G5" i="1"/>
  <c r="G8" i="1"/>
  <c r="G13" i="1"/>
  <c r="G15" i="1"/>
  <c r="G17" i="1"/>
  <c r="G19" i="1"/>
  <c r="G21" i="1"/>
  <c r="G23" i="1"/>
  <c r="G25" i="1"/>
  <c r="G27" i="1"/>
  <c r="G29" i="1"/>
  <c r="G14" i="1"/>
  <c r="G10" i="1"/>
</calcChain>
</file>

<file path=xl/sharedStrings.xml><?xml version="1.0" encoding="utf-8"?>
<sst xmlns="http://schemas.openxmlformats.org/spreadsheetml/2006/main" count="171" uniqueCount="117">
  <si>
    <t>Name</t>
  </si>
  <si>
    <t>Variable</t>
  </si>
  <si>
    <t>const</t>
  </si>
  <si>
    <t>uint8</t>
  </si>
  <si>
    <t>uint16L</t>
  </si>
  <si>
    <t>uint16H</t>
  </si>
  <si>
    <t>Port Digital Output Select</t>
  </si>
  <si>
    <t>Port Digital Output Cmd</t>
  </si>
  <si>
    <t>Port Digital Input Status</t>
  </si>
  <si>
    <t>LN GPIO Status</t>
  </si>
  <si>
    <t>LN GPIO Status Transmit</t>
  </si>
  <si>
    <t>ln_gpio_status</t>
  </si>
  <si>
    <t>ln_gpio_status_tx</t>
  </si>
  <si>
    <t>pwm_port[0].dimm_target</t>
  </si>
  <si>
    <t>PWM Port 1 Target</t>
  </si>
  <si>
    <t>PWM Port 2 Target</t>
  </si>
  <si>
    <t>PWM Port 3 Target</t>
  </si>
  <si>
    <t>PWM Port 4 Target</t>
  </si>
  <si>
    <t>PWM Port 5 Target</t>
  </si>
  <si>
    <t>PWM Port 6 Target</t>
  </si>
  <si>
    <t>PWM Port 7 Target</t>
  </si>
  <si>
    <t>pwm_port[1].dimm_target</t>
  </si>
  <si>
    <t>pwm_port[2].dimm_target</t>
  </si>
  <si>
    <t>pwm_port[3].dimm_target</t>
  </si>
  <si>
    <t>pwm_port[4].dimm_target</t>
  </si>
  <si>
    <t>pwm_port[5].dimm_target</t>
  </si>
  <si>
    <t>pwm_port[6].dimm_target</t>
  </si>
  <si>
    <t>pwm_port[0].dimm_delta</t>
  </si>
  <si>
    <t>PWM Port 1 Delta</t>
  </si>
  <si>
    <t>PWM Port 2 Delta</t>
  </si>
  <si>
    <t>PWM Port 3 Delta</t>
  </si>
  <si>
    <t>PWM Port 4 Delta</t>
  </si>
  <si>
    <t>PWM Port 5 Delta</t>
  </si>
  <si>
    <t>PWM Port 6 Delta</t>
  </si>
  <si>
    <t>PWM Port 7 Delta</t>
  </si>
  <si>
    <t>pwm_port[1].dimm_delta</t>
  </si>
  <si>
    <t>pwm_port[2].dimm_delta</t>
  </si>
  <si>
    <t>pwm_port[3].dimm_delta</t>
  </si>
  <si>
    <t>pwm_port[4].dimm_delta</t>
  </si>
  <si>
    <t>pwm_port[5].dimm_delta</t>
  </si>
  <si>
    <t>pwm_port[6].dimm_delta</t>
  </si>
  <si>
    <t>Servo 1 Setpoint</t>
  </si>
  <si>
    <t>Servo 1 Delta</t>
  </si>
  <si>
    <t>Servo 2 Setpoint</t>
  </si>
  <si>
    <t>Servo 2 Delta</t>
  </si>
  <si>
    <t>servo[1].time_delta</t>
  </si>
  <si>
    <t>servo[0].time_delta</t>
  </si>
  <si>
    <t>servo[0].position_setpoint</t>
  </si>
  <si>
    <t>servo[1].position_setpoint</t>
  </si>
  <si>
    <t>Relay Command</t>
  </si>
  <si>
    <t>relay_request</t>
  </si>
  <si>
    <t>port_di</t>
  </si>
  <si>
    <t>port_do</t>
  </si>
  <si>
    <t>port_do_select</t>
  </si>
  <si>
    <t>servo1_at_setpoint</t>
  </si>
  <si>
    <t>servo2_at_setpoint</t>
  </si>
  <si>
    <t>dimm_at_setpoint</t>
  </si>
  <si>
    <t>Parameter</t>
  </si>
  <si>
    <t>Port Mode</t>
  </si>
  <si>
    <t>port_mode</t>
  </si>
  <si>
    <t>Type</t>
  </si>
  <si>
    <t>LN GPIO Opcode Tx 1</t>
  </si>
  <si>
    <t>ln_gpio_opcode_tx</t>
  </si>
  <si>
    <t>ln_gpio_opcode_tx2</t>
  </si>
  <si>
    <t>LN GPIO Opcode Tx 2</t>
  </si>
  <si>
    <t>Description</t>
  </si>
  <si>
    <t>servo1_time_delta</t>
  </si>
  <si>
    <t>servo2_time_delta</t>
  </si>
  <si>
    <t>servo1_setpoint</t>
  </si>
  <si>
    <t>servo2_setpoint</t>
  </si>
  <si>
    <t>Servo 1 Position</t>
  </si>
  <si>
    <t>servo1_position</t>
  </si>
  <si>
    <t>servo[0].position_start</t>
  </si>
  <si>
    <t>Servo 2 Position</t>
  </si>
  <si>
    <t>servo2_position</t>
  </si>
  <si>
    <t>servo[1].position_start</t>
  </si>
  <si>
    <t>pwm_port1_target</t>
  </si>
  <si>
    <t>pwm_port2_target</t>
  </si>
  <si>
    <t>pwm_port3_target</t>
  </si>
  <si>
    <t>pwm_port4_target</t>
  </si>
  <si>
    <t>pwm_port5_target</t>
  </si>
  <si>
    <t>pwm_port6_target</t>
  </si>
  <si>
    <t>pwm_port7_target</t>
  </si>
  <si>
    <t>pwm_port1_delta</t>
  </si>
  <si>
    <t>pwm_port2_delta</t>
  </si>
  <si>
    <t>pwm_port3_delta</t>
  </si>
  <si>
    <t>pwm_port4_delta</t>
  </si>
  <si>
    <t>pwm_port5_delta</t>
  </si>
  <si>
    <t>pwm_port6_delta</t>
  </si>
  <si>
    <t>pwm_port7_delta</t>
  </si>
  <si>
    <t>fun</t>
  </si>
  <si>
    <t># Arguments/Items</t>
  </si>
  <si>
    <t>Random Number</t>
  </si>
  <si>
    <t>rand</t>
  </si>
  <si>
    <t>ubasic_random</t>
  </si>
  <si>
    <t>sv_read</t>
  </si>
  <si>
    <t>ubasic_sv_read</t>
  </si>
  <si>
    <t>sv_write</t>
  </si>
  <si>
    <t>ubasic_sv_write</t>
  </si>
  <si>
    <t>SV Read (SV Number)</t>
  </si>
  <si>
    <t>SV Write (SV Number, Value)</t>
  </si>
  <si>
    <t>PWM Port Delta Array</t>
  </si>
  <si>
    <t>uint8a</t>
  </si>
  <si>
    <t>pwm_delta</t>
  </si>
  <si>
    <t>PWM Port Target Array</t>
  </si>
  <si>
    <t>pwm_targert</t>
  </si>
  <si>
    <t>pwm_target</t>
  </si>
  <si>
    <t>PWM Trigger Update</t>
  </si>
  <si>
    <t>uint16</t>
  </si>
  <si>
    <t>pwm_update_trig</t>
  </si>
  <si>
    <t>PWM Continuous Update</t>
  </si>
  <si>
    <t>pwm_update_cont</t>
  </si>
  <si>
    <t>PWM At Setpoint</t>
  </si>
  <si>
    <t>pwm_at_setpoint</t>
  </si>
  <si>
    <t>PWM Set</t>
  </si>
  <si>
    <t>ubasic_pwm_update</t>
  </si>
  <si>
    <t>pwm_set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</si>
</sst>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H41"/>
  <sheetViews>
    <sheetView tabSelected="1" workbookViewId="0"/>
  </sheetViews>
  <sheetFormatPr baseColWidth="10" defaultRowHeight="15" x14ac:dyDescent="0.25"/>
  <cols>
    <col min="2" max="2" width="23.7109375" bestFit="1" customWidth="1"/>
    <col min="3" max="3" width="15.42578125" customWidth="1"/>
    <col min="4" max="4" width="20.7109375" customWidth="1"/>
    <col min="5" max="5" width="33.28515625" bestFit="1" customWidth="1"/>
    <col min="6" max="6" width="20.42578125" customWidth="1"/>
    <col min="7" max="7" width="86.5703125" bestFit="1" customWidth="1"/>
    <col min="8" max="8" width="36.42578125" bestFit="1" customWidth="1"/>
  </cols>
  <sheetData>
    <row r="1" spans="1:8" x14ac:dyDescent="0.25">
      <c r="A1" t="s">
        <v>57</v>
      </c>
      <c r="B1" t="s">
        <v>65</v>
      </c>
      <c r="C1" t="s">
        <v>60</v>
      </c>
      <c r="D1" t="s">
        <v>0</v>
      </c>
      <c r="E1" t="s">
        <v>1</v>
      </c>
      <c r="F1" t="s">
        <v>91</v>
      </c>
    </row>
    <row r="2" spans="1:8" x14ac:dyDescent="0.25">
      <c r="A2">
        <v>1</v>
      </c>
      <c r="B2" t="s">
        <v>9</v>
      </c>
      <c r="C2" t="s">
        <v>3</v>
      </c>
      <c r="D2" t="s">
        <v>11</v>
      </c>
      <c r="E2" t="s">
        <v>11</v>
      </c>
      <c r="G2" t="str">
        <f>genParamEntry(A2:F2)</f>
        <v>USER_VARIABLE(1, "ln_gpio_status", ln_gpio_status, 1)</v>
      </c>
      <c r="H2" t="str">
        <f>genDefEntry(A2:F2)</f>
        <v>1,ln_gpio_status,33,0</v>
      </c>
    </row>
    <row r="3" spans="1:8" x14ac:dyDescent="0.25">
      <c r="A3">
        <f>A2+1</f>
        <v>2</v>
      </c>
      <c r="B3" t="s">
        <v>10</v>
      </c>
      <c r="C3" t="s">
        <v>3</v>
      </c>
      <c r="D3" t="s">
        <v>12</v>
      </c>
      <c r="E3" t="s">
        <v>12</v>
      </c>
      <c r="G3" t="str">
        <f t="shared" ref="G3:G30" si="0">genParamEntry(A3:F3)</f>
        <v>USER_VARIABLE(2, "ln_gpio_status_tx", ln_gpio_status_tx, 1)</v>
      </c>
      <c r="H3" t="str">
        <f t="shared" ref="H3:H30" si="1">genDefEntry(A3:F3)</f>
        <v>2,ln_gpio_status_tx,33,0</v>
      </c>
    </row>
    <row r="4" spans="1:8" x14ac:dyDescent="0.25">
      <c r="A4">
        <f t="shared" ref="A4:A39" si="2">A3+1</f>
        <v>3</v>
      </c>
      <c r="B4" t="s">
        <v>49</v>
      </c>
      <c r="C4" t="s">
        <v>3</v>
      </c>
      <c r="D4" t="s">
        <v>50</v>
      </c>
      <c r="E4" t="s">
        <v>50</v>
      </c>
      <c r="G4" t="str">
        <f t="shared" si="0"/>
        <v>USER_VARIABLE(3, "relay_request", relay_request, 1)</v>
      </c>
      <c r="H4" t="str">
        <f t="shared" si="1"/>
        <v>3,relay_request,33,0</v>
      </c>
    </row>
    <row r="5" spans="1:8" x14ac:dyDescent="0.25">
      <c r="A5">
        <f t="shared" si="2"/>
        <v>4</v>
      </c>
      <c r="B5" t="s">
        <v>42</v>
      </c>
      <c r="C5" t="s">
        <v>3</v>
      </c>
      <c r="D5" t="s">
        <v>66</v>
      </c>
      <c r="E5" t="s">
        <v>46</v>
      </c>
      <c r="G5" t="str">
        <f t="shared" si="0"/>
        <v>USER_VARIABLE(4, "servo1_time_delta", servo[0].time_delta, 1)</v>
      </c>
      <c r="H5" t="str">
        <f t="shared" si="1"/>
        <v>4,servo1_time_delta,33,0</v>
      </c>
    </row>
    <row r="6" spans="1:8" x14ac:dyDescent="0.25">
      <c r="A6">
        <f t="shared" si="2"/>
        <v>5</v>
      </c>
      <c r="B6" t="s">
        <v>41</v>
      </c>
      <c r="C6" t="s">
        <v>3</v>
      </c>
      <c r="D6" t="s">
        <v>68</v>
      </c>
      <c r="E6" t="s">
        <v>47</v>
      </c>
      <c r="F6" t="s">
        <v>54</v>
      </c>
      <c r="G6" t="str">
        <f t="shared" si="0"/>
        <v>USER_VARIABLE(5, "servo1_setpoint", servo[0].position_setpoint, 1)</v>
      </c>
      <c r="H6" t="str">
        <f t="shared" si="1"/>
        <v>5,servo1_setpoint,33,0</v>
      </c>
    </row>
    <row r="7" spans="1:8" x14ac:dyDescent="0.25">
      <c r="A7">
        <f t="shared" si="2"/>
        <v>6</v>
      </c>
      <c r="B7" t="s">
        <v>70</v>
      </c>
      <c r="C7" t="s">
        <v>3</v>
      </c>
      <c r="D7" t="s">
        <v>71</v>
      </c>
      <c r="E7" t="s">
        <v>72</v>
      </c>
      <c r="G7" t="str">
        <f t="shared" ref="G7" si="3">genParamEntry(A7:F7)</f>
        <v>USER_VARIABLE(6, "servo1_position", servo[0].position_start, 1)</v>
      </c>
      <c r="H7" t="str">
        <f t="shared" si="1"/>
        <v>6,servo1_position,33,0</v>
      </c>
    </row>
    <row r="8" spans="1:8" x14ac:dyDescent="0.25">
      <c r="A8">
        <f t="shared" si="2"/>
        <v>7</v>
      </c>
      <c r="B8" t="s">
        <v>44</v>
      </c>
      <c r="C8" t="s">
        <v>3</v>
      </c>
      <c r="D8" t="s">
        <v>67</v>
      </c>
      <c r="E8" t="s">
        <v>45</v>
      </c>
      <c r="G8" t="str">
        <f t="shared" si="0"/>
        <v>USER_VARIABLE(7, "servo2_time_delta", servo[1].time_delta, 1)</v>
      </c>
      <c r="H8" t="str">
        <f t="shared" si="1"/>
        <v>7,servo2_time_delta,33,0</v>
      </c>
    </row>
    <row r="9" spans="1:8" x14ac:dyDescent="0.25">
      <c r="A9">
        <f t="shared" si="2"/>
        <v>8</v>
      </c>
      <c r="B9" t="s">
        <v>43</v>
      </c>
      <c r="C9" t="s">
        <v>3</v>
      </c>
      <c r="D9" t="s">
        <v>69</v>
      </c>
      <c r="E9" t="s">
        <v>48</v>
      </c>
      <c r="F9" t="s">
        <v>55</v>
      </c>
      <c r="G9" t="str">
        <f t="shared" si="0"/>
        <v>USER_VARIABLE(8, "servo2_setpoint", servo[1].position_setpoint, 1)</v>
      </c>
      <c r="H9" t="str">
        <f t="shared" si="1"/>
        <v>8,servo2_setpoint,33,0</v>
      </c>
    </row>
    <row r="10" spans="1:8" x14ac:dyDescent="0.25">
      <c r="A10">
        <f t="shared" si="2"/>
        <v>9</v>
      </c>
      <c r="B10" t="s">
        <v>73</v>
      </c>
      <c r="C10" t="s">
        <v>3</v>
      </c>
      <c r="D10" t="s">
        <v>74</v>
      </c>
      <c r="E10" t="s">
        <v>75</v>
      </c>
      <c r="G10" t="str">
        <f t="shared" si="0"/>
        <v>USER_VARIABLE(9, "servo2_position", servo[1].position_start, 1)</v>
      </c>
      <c r="H10" t="str">
        <f t="shared" si="1"/>
        <v>9,servo2_position,33,0</v>
      </c>
    </row>
    <row r="11" spans="1:8" x14ac:dyDescent="0.25">
      <c r="A11">
        <f t="shared" si="2"/>
        <v>10</v>
      </c>
      <c r="B11" t="s">
        <v>8</v>
      </c>
      <c r="C11" t="s">
        <v>3</v>
      </c>
      <c r="D11" t="s">
        <v>51</v>
      </c>
      <c r="E11" t="s">
        <v>51</v>
      </c>
      <c r="G11" t="str">
        <f t="shared" si="0"/>
        <v>USER_VARIABLE(10, "port_di", port_di, 1)</v>
      </c>
      <c r="H11" t="str">
        <f t="shared" si="1"/>
        <v>10,port_di,33,0</v>
      </c>
    </row>
    <row r="12" spans="1:8" x14ac:dyDescent="0.25">
      <c r="A12">
        <f t="shared" si="2"/>
        <v>11</v>
      </c>
      <c r="B12" t="s">
        <v>7</v>
      </c>
      <c r="C12" t="s">
        <v>3</v>
      </c>
      <c r="D12" t="s">
        <v>52</v>
      </c>
      <c r="E12" t="s">
        <v>52</v>
      </c>
      <c r="G12" t="str">
        <f t="shared" si="0"/>
        <v>USER_VARIABLE(11, "port_do", port_do, 1)</v>
      </c>
      <c r="H12" t="str">
        <f t="shared" si="1"/>
        <v>11,port_do,33,0</v>
      </c>
    </row>
    <row r="13" spans="1:8" x14ac:dyDescent="0.25">
      <c r="A13">
        <f t="shared" si="2"/>
        <v>12</v>
      </c>
      <c r="B13" t="s">
        <v>6</v>
      </c>
      <c r="C13" t="s">
        <v>3</v>
      </c>
      <c r="D13" t="s">
        <v>53</v>
      </c>
      <c r="E13" t="s">
        <v>53</v>
      </c>
      <c r="G13" t="str">
        <f>genParamEntry(A13:F13)</f>
        <v>USER_VARIABLE(12, "port_do_select", port_do_select, 1)</v>
      </c>
      <c r="H13" t="str">
        <f t="shared" si="1"/>
        <v>12,port_do_select,33,0</v>
      </c>
    </row>
    <row r="14" spans="1:8" x14ac:dyDescent="0.25">
      <c r="A14">
        <f t="shared" si="2"/>
        <v>13</v>
      </c>
      <c r="B14" t="s">
        <v>58</v>
      </c>
      <c r="C14" t="s">
        <v>3</v>
      </c>
      <c r="D14" t="s">
        <v>59</v>
      </c>
      <c r="E14" t="s">
        <v>59</v>
      </c>
      <c r="G14" t="str">
        <f>genParamEntry(A14:F14)</f>
        <v>USER_VARIABLE(13, "port_mode", port_mode, 1)</v>
      </c>
      <c r="H14" t="str">
        <f t="shared" si="1"/>
        <v>13,port_mode,33,0</v>
      </c>
    </row>
    <row r="15" spans="1:8" x14ac:dyDescent="0.25">
      <c r="A15">
        <f t="shared" si="2"/>
        <v>14</v>
      </c>
      <c r="B15" t="s">
        <v>61</v>
      </c>
      <c r="C15" t="s">
        <v>3</v>
      </c>
      <c r="D15" t="s">
        <v>62</v>
      </c>
      <c r="E15" t="s">
        <v>62</v>
      </c>
      <c r="G15" t="str">
        <f t="shared" si="0"/>
        <v>USER_VARIABLE(14, "ln_gpio_opcode_tx", ln_gpio_opcode_tx, 1)</v>
      </c>
      <c r="H15" t="str">
        <f t="shared" si="1"/>
        <v>14,ln_gpio_opcode_tx,33,0</v>
      </c>
    </row>
    <row r="16" spans="1:8" x14ac:dyDescent="0.25">
      <c r="A16">
        <f t="shared" si="2"/>
        <v>15</v>
      </c>
      <c r="B16" t="s">
        <v>64</v>
      </c>
      <c r="C16" t="s">
        <v>3</v>
      </c>
      <c r="D16" t="s">
        <v>63</v>
      </c>
      <c r="E16" t="s">
        <v>63</v>
      </c>
      <c r="G16" t="str">
        <f t="shared" si="0"/>
        <v>USER_VARIABLE(15, "ln_gpio_opcode_tx2", ln_gpio_opcode_tx2, 1)</v>
      </c>
      <c r="H16" t="str">
        <f t="shared" si="1"/>
        <v>15,ln_gpio_opcode_tx2,33,0</v>
      </c>
    </row>
    <row r="17" spans="1:8" x14ac:dyDescent="0.25">
      <c r="A17">
        <f t="shared" si="2"/>
        <v>16</v>
      </c>
      <c r="B17" t="s">
        <v>14</v>
      </c>
      <c r="C17" t="s">
        <v>3</v>
      </c>
      <c r="D17" t="s">
        <v>76</v>
      </c>
      <c r="E17" t="s">
        <v>13</v>
      </c>
      <c r="F17" t="s">
        <v>56</v>
      </c>
      <c r="G17" t="str">
        <f t="shared" si="0"/>
        <v>USER_VARIABLE(16, "pwm_port1_target", pwm_port[0].dimm_target, 1)</v>
      </c>
      <c r="H17" t="str">
        <f t="shared" si="1"/>
        <v>16,pwm_port1_target,33,0</v>
      </c>
    </row>
    <row r="18" spans="1:8" x14ac:dyDescent="0.25">
      <c r="A18">
        <f t="shared" si="2"/>
        <v>17</v>
      </c>
      <c r="B18" t="s">
        <v>15</v>
      </c>
      <c r="C18" t="s">
        <v>3</v>
      </c>
      <c r="D18" t="s">
        <v>77</v>
      </c>
      <c r="E18" t="s">
        <v>21</v>
      </c>
      <c r="F18" t="s">
        <v>56</v>
      </c>
      <c r="G18" t="str">
        <f t="shared" si="0"/>
        <v>USER_VARIABLE(17, "pwm_port2_target", pwm_port[1].dimm_target, 1)</v>
      </c>
      <c r="H18" t="str">
        <f t="shared" si="1"/>
        <v>17,pwm_port2_target,33,0</v>
      </c>
    </row>
    <row r="19" spans="1:8" x14ac:dyDescent="0.25">
      <c r="A19">
        <f t="shared" si="2"/>
        <v>18</v>
      </c>
      <c r="B19" t="s">
        <v>16</v>
      </c>
      <c r="C19" t="s">
        <v>3</v>
      </c>
      <c r="D19" t="s">
        <v>78</v>
      </c>
      <c r="E19" t="s">
        <v>22</v>
      </c>
      <c r="F19" t="s">
        <v>56</v>
      </c>
      <c r="G19" t="str">
        <f t="shared" si="0"/>
        <v>USER_VARIABLE(18, "pwm_port3_target", pwm_port[2].dimm_target, 1)</v>
      </c>
      <c r="H19" t="str">
        <f t="shared" si="1"/>
        <v>18,pwm_port3_target,33,0</v>
      </c>
    </row>
    <row r="20" spans="1:8" x14ac:dyDescent="0.25">
      <c r="A20">
        <f t="shared" si="2"/>
        <v>19</v>
      </c>
      <c r="B20" t="s">
        <v>17</v>
      </c>
      <c r="C20" t="s">
        <v>3</v>
      </c>
      <c r="D20" t="s">
        <v>79</v>
      </c>
      <c r="E20" t="s">
        <v>23</v>
      </c>
      <c r="F20" t="s">
        <v>56</v>
      </c>
      <c r="G20" t="str">
        <f t="shared" si="0"/>
        <v>USER_VARIABLE(19, "pwm_port4_target", pwm_port[3].dimm_target, 1)</v>
      </c>
      <c r="H20" t="str">
        <f t="shared" si="1"/>
        <v>19,pwm_port4_target,33,0</v>
      </c>
    </row>
    <row r="21" spans="1:8" x14ac:dyDescent="0.25">
      <c r="A21">
        <f t="shared" si="2"/>
        <v>20</v>
      </c>
      <c r="B21" t="s">
        <v>18</v>
      </c>
      <c r="C21" t="s">
        <v>3</v>
      </c>
      <c r="D21" t="s">
        <v>80</v>
      </c>
      <c r="E21" t="s">
        <v>24</v>
      </c>
      <c r="F21" t="s">
        <v>56</v>
      </c>
      <c r="G21" t="str">
        <f t="shared" si="0"/>
        <v>USER_VARIABLE(20, "pwm_port5_target", pwm_port[4].dimm_target, 1)</v>
      </c>
      <c r="H21" t="str">
        <f t="shared" si="1"/>
        <v>20,pwm_port5_target,33,0</v>
      </c>
    </row>
    <row r="22" spans="1:8" x14ac:dyDescent="0.25">
      <c r="A22">
        <f t="shared" si="2"/>
        <v>21</v>
      </c>
      <c r="B22" t="s">
        <v>19</v>
      </c>
      <c r="C22" t="s">
        <v>3</v>
      </c>
      <c r="D22" t="s">
        <v>81</v>
      </c>
      <c r="E22" t="s">
        <v>25</v>
      </c>
      <c r="F22" t="s">
        <v>56</v>
      </c>
      <c r="G22" t="str">
        <f t="shared" si="0"/>
        <v>USER_VARIABLE(21, "pwm_port6_target", pwm_port[5].dimm_target, 1)</v>
      </c>
      <c r="H22" t="str">
        <f t="shared" si="1"/>
        <v>21,pwm_port6_target,33,0</v>
      </c>
    </row>
    <row r="23" spans="1:8" x14ac:dyDescent="0.25">
      <c r="A23">
        <f t="shared" si="2"/>
        <v>22</v>
      </c>
      <c r="B23" t="s">
        <v>20</v>
      </c>
      <c r="C23" t="s">
        <v>3</v>
      </c>
      <c r="D23" t="s">
        <v>82</v>
      </c>
      <c r="E23" t="s">
        <v>26</v>
      </c>
      <c r="F23" t="s">
        <v>56</v>
      </c>
      <c r="G23" t="str">
        <f t="shared" si="0"/>
        <v>USER_VARIABLE(22, "pwm_port7_target", pwm_port[6].dimm_target, 1)</v>
      </c>
      <c r="H23" t="str">
        <f t="shared" si="1"/>
        <v>22,pwm_port7_target,33,0</v>
      </c>
    </row>
    <row r="24" spans="1:8" x14ac:dyDescent="0.25">
      <c r="A24">
        <f t="shared" si="2"/>
        <v>23</v>
      </c>
      <c r="B24" t="s">
        <v>28</v>
      </c>
      <c r="C24" t="s">
        <v>3</v>
      </c>
      <c r="D24" t="s">
        <v>83</v>
      </c>
      <c r="E24" t="s">
        <v>27</v>
      </c>
      <c r="G24" t="str">
        <f t="shared" si="0"/>
        <v>USER_VARIABLE(23, "pwm_port1_delta", pwm_port[0].dimm_delta, 1)</v>
      </c>
      <c r="H24" t="str">
        <f t="shared" si="1"/>
        <v>23,pwm_port1_delta,33,0</v>
      </c>
    </row>
    <row r="25" spans="1:8" x14ac:dyDescent="0.25">
      <c r="A25">
        <f t="shared" si="2"/>
        <v>24</v>
      </c>
      <c r="B25" t="s">
        <v>29</v>
      </c>
      <c r="C25" t="s">
        <v>3</v>
      </c>
      <c r="D25" t="s">
        <v>84</v>
      </c>
      <c r="E25" t="s">
        <v>35</v>
      </c>
      <c r="G25" t="str">
        <f t="shared" si="0"/>
        <v>USER_VARIABLE(24, "pwm_port2_delta", pwm_port[1].dimm_delta, 1)</v>
      </c>
      <c r="H25" t="str">
        <f t="shared" si="1"/>
        <v>24,pwm_port2_delta,33,0</v>
      </c>
    </row>
    <row r="26" spans="1:8" x14ac:dyDescent="0.25">
      <c r="A26">
        <f t="shared" si="2"/>
        <v>25</v>
      </c>
      <c r="B26" t="s">
        <v>30</v>
      </c>
      <c r="C26" t="s">
        <v>3</v>
      </c>
      <c r="D26" t="s">
        <v>85</v>
      </c>
      <c r="E26" t="s">
        <v>36</v>
      </c>
      <c r="G26" t="str">
        <f t="shared" si="0"/>
        <v>USER_VARIABLE(25, "pwm_port3_delta", pwm_port[2].dimm_delta, 1)</v>
      </c>
      <c r="H26" t="str">
        <f t="shared" si="1"/>
        <v>25,pwm_port3_delta,33,0</v>
      </c>
    </row>
    <row r="27" spans="1:8" x14ac:dyDescent="0.25">
      <c r="A27">
        <f t="shared" si="2"/>
        <v>26</v>
      </c>
      <c r="B27" t="s">
        <v>31</v>
      </c>
      <c r="C27" t="s">
        <v>3</v>
      </c>
      <c r="D27" t="s">
        <v>86</v>
      </c>
      <c r="E27" t="s">
        <v>37</v>
      </c>
      <c r="G27" t="str">
        <f t="shared" si="0"/>
        <v>USER_VARIABLE(26, "pwm_port4_delta", pwm_port[3].dimm_delta, 1)</v>
      </c>
      <c r="H27" t="str">
        <f t="shared" si="1"/>
        <v>26,pwm_port4_delta,33,0</v>
      </c>
    </row>
    <row r="28" spans="1:8" x14ac:dyDescent="0.25">
      <c r="A28">
        <f t="shared" si="2"/>
        <v>27</v>
      </c>
      <c r="B28" t="s">
        <v>32</v>
      </c>
      <c r="C28" t="s">
        <v>3</v>
      </c>
      <c r="D28" t="s">
        <v>87</v>
      </c>
      <c r="E28" t="s">
        <v>38</v>
      </c>
      <c r="G28" t="str">
        <f t="shared" si="0"/>
        <v>USER_VARIABLE(27, "pwm_port5_delta", pwm_port[4].dimm_delta, 1)</v>
      </c>
      <c r="H28" t="str">
        <f t="shared" si="1"/>
        <v>27,pwm_port5_delta,33,0</v>
      </c>
    </row>
    <row r="29" spans="1:8" x14ac:dyDescent="0.25">
      <c r="A29">
        <f t="shared" si="2"/>
        <v>28</v>
      </c>
      <c r="B29" t="s">
        <v>33</v>
      </c>
      <c r="C29" t="s">
        <v>3</v>
      </c>
      <c r="D29" t="s">
        <v>88</v>
      </c>
      <c r="E29" t="s">
        <v>39</v>
      </c>
      <c r="G29" t="str">
        <f t="shared" si="0"/>
        <v>USER_VARIABLE(28, "pwm_port6_delta", pwm_port[5].dimm_delta, 1)</v>
      </c>
      <c r="H29" t="str">
        <f t="shared" si="1"/>
        <v>28,pwm_port6_delta,33,0</v>
      </c>
    </row>
    <row r="30" spans="1:8" x14ac:dyDescent="0.25">
      <c r="A30">
        <f t="shared" si="2"/>
        <v>29</v>
      </c>
      <c r="B30" t="s">
        <v>34</v>
      </c>
      <c r="C30" t="s">
        <v>3</v>
      </c>
      <c r="D30" t="s">
        <v>89</v>
      </c>
      <c r="E30" t="s">
        <v>40</v>
      </c>
      <c r="G30" t="str">
        <f t="shared" si="0"/>
        <v>USER_VARIABLE(29, "pwm_port7_delta", pwm_port[6].dimm_delta, 1)</v>
      </c>
      <c r="H30" t="str">
        <f t="shared" si="1"/>
        <v>29,pwm_port7_delta,33,0</v>
      </c>
    </row>
    <row r="31" spans="1:8" x14ac:dyDescent="0.25">
      <c r="A31">
        <f>A30+1</f>
        <v>30</v>
      </c>
      <c r="B31" t="s">
        <v>92</v>
      </c>
      <c r="C31" t="s">
        <v>90</v>
      </c>
      <c r="D31" t="s">
        <v>93</v>
      </c>
      <c r="E31" t="s">
        <v>94</v>
      </c>
      <c r="F31">
        <v>0</v>
      </c>
      <c r="G31" t="str">
        <f t="shared" ref="G31:G33" si="4">genParamEntry(A31:F31)</f>
        <v>USER_FUNCTION(30, "rand", ubasic_random,0)</v>
      </c>
      <c r="H31" t="str">
        <f t="shared" ref="H31:H33" si="5">genDefEntry(A31:F31)</f>
        <v>30,rand,16,0</v>
      </c>
    </row>
    <row r="32" spans="1:8" x14ac:dyDescent="0.25">
      <c r="A32">
        <f t="shared" si="2"/>
        <v>31</v>
      </c>
      <c r="B32" t="s">
        <v>99</v>
      </c>
      <c r="C32" t="s">
        <v>90</v>
      </c>
      <c r="D32" t="s">
        <v>95</v>
      </c>
      <c r="E32" t="s">
        <v>96</v>
      </c>
      <c r="F32">
        <v>1</v>
      </c>
      <c r="G32" t="str">
        <f t="shared" si="4"/>
        <v>USER_FUNCTION(31, "sv_read", ubasic_sv_read,1)</v>
      </c>
      <c r="H32" t="str">
        <f t="shared" si="5"/>
        <v>31,sv_read,16,1</v>
      </c>
    </row>
    <row r="33" spans="1:8" x14ac:dyDescent="0.25">
      <c r="A33">
        <f t="shared" si="2"/>
        <v>32</v>
      </c>
      <c r="B33" t="s">
        <v>100</v>
      </c>
      <c r="C33" t="s">
        <v>90</v>
      </c>
      <c r="D33" t="s">
        <v>97</v>
      </c>
      <c r="E33" t="s">
        <v>98</v>
      </c>
      <c r="F33">
        <v>2</v>
      </c>
      <c r="G33" t="str">
        <f t="shared" si="4"/>
        <v>USER_FUNCTION(32, "sv_write", ubasic_sv_write,2)</v>
      </c>
      <c r="H33" t="str">
        <f t="shared" si="5"/>
        <v>32,sv_write,16,2</v>
      </c>
    </row>
    <row r="34" spans="1:8" x14ac:dyDescent="0.25">
      <c r="A34">
        <f t="shared" si="2"/>
        <v>33</v>
      </c>
      <c r="B34" t="s">
        <v>101</v>
      </c>
      <c r="C34" t="s">
        <v>102</v>
      </c>
      <c r="D34" t="s">
        <v>103</v>
      </c>
      <c r="E34" t="s">
        <v>103</v>
      </c>
      <c r="F34">
        <v>7</v>
      </c>
      <c r="G34" t="str">
        <f t="shared" ref="G34" si="6">genParamEntry(A34:F34)</f>
        <v>USER_ARRAY(33, "pwm_delta", pwm_delta,1,7)</v>
      </c>
      <c r="H34" t="str">
        <f t="shared" ref="H34" si="7">genDefEntry(A34:F34)</f>
        <v>33,pwm_delta,49,7</v>
      </c>
    </row>
    <row r="35" spans="1:8" x14ac:dyDescent="0.25">
      <c r="A35">
        <f t="shared" si="2"/>
        <v>34</v>
      </c>
      <c r="B35" t="s">
        <v>104</v>
      </c>
      <c r="C35" t="s">
        <v>102</v>
      </c>
      <c r="D35" t="s">
        <v>105</v>
      </c>
      <c r="E35" t="s">
        <v>106</v>
      </c>
      <c r="F35">
        <v>7</v>
      </c>
      <c r="G35" t="str">
        <f t="shared" ref="G35:G41" si="8">genParamEntry(A35:F35)</f>
        <v>USER_ARRAY(34, "pwm_targert", pwm_target,1,7)</v>
      </c>
      <c r="H35" t="str">
        <f t="shared" ref="H35:H41" si="9">genDefEntry(A35:F35)</f>
        <v>34,pwm_targert,49,7</v>
      </c>
    </row>
    <row r="36" spans="1:8" x14ac:dyDescent="0.25">
      <c r="A36">
        <f t="shared" si="2"/>
        <v>35</v>
      </c>
      <c r="B36" t="s">
        <v>107</v>
      </c>
      <c r="C36" t="s">
        <v>108</v>
      </c>
      <c r="D36" t="s">
        <v>109</v>
      </c>
      <c r="E36" t="s">
        <v>109</v>
      </c>
      <c r="G36" t="str">
        <f t="shared" si="8"/>
        <v>USER_VARIABLE(35, "pwm_update_trig", pwm_update_trig, 3)</v>
      </c>
      <c r="H36" t="str">
        <f t="shared" si="9"/>
        <v>35,pwm_update_trig,35,0</v>
      </c>
    </row>
    <row r="37" spans="1:8" x14ac:dyDescent="0.25">
      <c r="A37">
        <f t="shared" si="2"/>
        <v>36</v>
      </c>
      <c r="B37" t="s">
        <v>110</v>
      </c>
      <c r="C37" t="s">
        <v>108</v>
      </c>
      <c r="D37" t="s">
        <v>111</v>
      </c>
      <c r="E37" t="s">
        <v>111</v>
      </c>
      <c r="G37" t="str">
        <f t="shared" si="8"/>
        <v>USER_VARIABLE(36, "pwm_update_cont", pwm_update_cont, 3)</v>
      </c>
      <c r="H37" t="str">
        <f t="shared" si="9"/>
        <v>36,pwm_update_cont,35,0</v>
      </c>
    </row>
    <row r="38" spans="1:8" x14ac:dyDescent="0.25">
      <c r="A38">
        <f t="shared" si="2"/>
        <v>37</v>
      </c>
      <c r="B38" t="s">
        <v>112</v>
      </c>
      <c r="C38" t="s">
        <v>108</v>
      </c>
      <c r="D38" t="s">
        <v>113</v>
      </c>
      <c r="E38" t="s">
        <v>113</v>
      </c>
      <c r="G38" t="str">
        <f t="shared" si="8"/>
        <v>USER_VARIABLE(37, "pwm_at_setpoint", pwm_at_setpoint, 3)</v>
      </c>
      <c r="H38" t="str">
        <f t="shared" si="9"/>
        <v>37,pwm_at_setpoint,35,0</v>
      </c>
    </row>
    <row r="39" spans="1:8" x14ac:dyDescent="0.25">
      <c r="A39">
        <f t="shared" si="2"/>
        <v>38</v>
      </c>
      <c r="B39" t="s">
        <v>114</v>
      </c>
      <c r="C39" t="s">
        <v>90</v>
      </c>
      <c r="D39" t="s">
        <v>116</v>
      </c>
      <c r="E39" t="s">
        <v>115</v>
      </c>
      <c r="F39">
        <v>3</v>
      </c>
      <c r="G39" t="str">
        <f t="shared" si="8"/>
        <v>USER_FUNCTION(38, "pwm_set", ubasic_pwm_update,3)</v>
      </c>
      <c r="H39" t="str">
        <f t="shared" si="9"/>
        <v>38,pwm_set,16,3</v>
      </c>
    </row>
    <row r="40" spans="1:8" x14ac:dyDescent="0.25">
      <c r="G40" t="str">
        <f t="shared" si="8"/>
        <v/>
      </c>
      <c r="H40" t="str">
        <f t="shared" si="9"/>
        <v/>
      </c>
    </row>
    <row r="41" spans="1:8" x14ac:dyDescent="0.25">
      <c r="G41" t="str">
        <f t="shared" si="8"/>
        <v/>
      </c>
      <c r="H41" t="str">
        <f t="shared" si="9"/>
        <v/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4"/>
  <sheetViews>
    <sheetView workbookViewId="0">
      <selection activeCell="A5" sqref="A5"/>
    </sheetView>
  </sheetViews>
  <sheetFormatPr baseColWidth="10" defaultRowHeight="15" x14ac:dyDescent="0.25"/>
  <sheetData>
    <row r="1" spans="1:2" x14ac:dyDescent="0.25">
      <c r="A1">
        <v>0</v>
      </c>
      <c r="B1" t="s">
        <v>2</v>
      </c>
    </row>
    <row r="2" spans="1:2" x14ac:dyDescent="0.25">
      <c r="A2">
        <v>1</v>
      </c>
      <c r="B2" t="s">
        <v>3</v>
      </c>
    </row>
    <row r="3" spans="1:2" x14ac:dyDescent="0.25">
      <c r="A3">
        <v>2</v>
      </c>
      <c r="B3" t="s">
        <v>4</v>
      </c>
    </row>
    <row r="4" spans="1:2" x14ac:dyDescent="0.25">
      <c r="A4">
        <v>3</v>
      </c>
      <c r="B4" t="s">
        <v>5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Vetterli</dc:creator>
  <cp:lastModifiedBy>manu</cp:lastModifiedBy>
  <dcterms:created xsi:type="dcterms:W3CDTF">2012-05-31T15:20:35Z</dcterms:created>
  <dcterms:modified xsi:type="dcterms:W3CDTF">2014-11-14T17:42:57Z</dcterms:modified>
</cp:coreProperties>
</file>